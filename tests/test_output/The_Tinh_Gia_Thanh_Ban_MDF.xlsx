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_Tinh_Gia_Tha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i val="1"/>
      <sz val="9"/>
    </font>
    <font>
      <name val="Times New Roman"/>
      <b val="1"/>
      <color rgb="00002060"/>
      <sz val="16"/>
    </font>
    <font>
      <name val="Times New Roman"/>
      <i val="1"/>
      <sz val="11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1"/>
    </font>
    <font>
      <name val="Times New Roman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7" fillId="0" borderId="0" pivotButton="0" quotePrefix="0" xfId="0"/>
    <xf numFmtId="3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20" customWidth="1" min="3" max="3"/>
    <col width="22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DOANH NGHIỆP SẢN XUẤT</t>
        </is>
      </c>
    </row>
    <row r="2">
      <c r="A2" s="2" t="inlineStr">
        <is>
          <t>Bộ phận: Kế toán Giá thành</t>
        </is>
      </c>
    </row>
    <row r="4">
      <c r="A4" s="3" t="inlineStr">
        <is>
          <t>THẺ TÍNH GIÁ THÀNH SẢN PHẨM</t>
        </is>
      </c>
    </row>
    <row r="5">
      <c r="A5" s="4" t="inlineStr">
        <is>
          <t>Tên sản phẩm: Bàn làm việc gỗ MDF | Số lượng hoàn thành: 100 | Kỳ tính: Tháng 10/2026</t>
        </is>
      </c>
    </row>
    <row r="7">
      <c r="A7" s="5" t="inlineStr">
        <is>
          <t>STT</t>
        </is>
      </c>
      <c r="B7" s="5" t="inlineStr">
        <is>
          <t>Khoản mục chi phí</t>
        </is>
      </c>
      <c r="C7" s="5" t="inlineStr">
        <is>
          <t>Dở dang đầu kỳ (D_đk)</t>
        </is>
      </c>
      <c r="D7" s="5" t="inlineStr">
        <is>
          <t>Chi phí phát sinh (C)</t>
        </is>
      </c>
      <c r="E7" s="5" t="inlineStr">
        <is>
          <t>Dở dang cuối kỳ (D_ck)</t>
        </is>
      </c>
      <c r="F7" s="5" t="inlineStr">
        <is>
          <t>Tổng giá thành (Z)</t>
        </is>
      </c>
      <c r="G7" s="5" t="inlineStr">
        <is>
          <t>Giá thành đơn vị (z)</t>
        </is>
      </c>
    </row>
    <row r="8">
      <c r="A8" s="6" t="inlineStr">
        <is>
          <t>1</t>
        </is>
      </c>
      <c r="B8" s="7" t="inlineStr">
        <is>
          <t>Chi phí NVL trực tiếp (TK 621)</t>
        </is>
      </c>
      <c r="C8" s="8" t="n">
        <v>6000000</v>
      </c>
      <c r="D8" s="8" t="n">
        <v>50000000</v>
      </c>
      <c r="E8" s="8" t="n">
        <v>3000000</v>
      </c>
      <c r="F8" s="8">
        <f>C8+D8-E8</f>
        <v/>
      </c>
      <c r="G8" s="8">
        <f>F8/100</f>
        <v/>
      </c>
    </row>
    <row r="9">
      <c r="A9" s="6" t="inlineStr">
        <is>
          <t>2</t>
        </is>
      </c>
      <c r="B9" s="7" t="inlineStr">
        <is>
          <t>Chi phí Nhân công trực tiếp (TK 622)</t>
        </is>
      </c>
      <c r="C9" s="8" t="n">
        <v>2500000</v>
      </c>
      <c r="D9" s="8" t="n">
        <v>20000000</v>
      </c>
      <c r="E9" s="8" t="n">
        <v>1200000</v>
      </c>
      <c r="F9" s="8">
        <f>C9+D9-E9</f>
        <v/>
      </c>
      <c r="G9" s="8">
        <f>F9/100</f>
        <v/>
      </c>
    </row>
    <row r="10">
      <c r="A10" s="6" t="inlineStr">
        <is>
          <t>3</t>
        </is>
      </c>
      <c r="B10" s="7" t="inlineStr">
        <is>
          <t>Chi phí Sản xuất chung (TK 627)</t>
        </is>
      </c>
      <c r="C10" s="8" t="n">
        <v>1500000</v>
      </c>
      <c r="D10" s="8" t="n">
        <v>15000000</v>
      </c>
      <c r="E10" s="8" t="n">
        <v>800000</v>
      </c>
      <c r="F10" s="8">
        <f>C10+D10-E10</f>
        <v/>
      </c>
      <c r="G10" s="8">
        <f>F10/100</f>
        <v/>
      </c>
    </row>
    <row r="11">
      <c r="B11" s="9" t="inlineStr">
        <is>
          <t>TỔNG CỘNG GIÁ THÀNH</t>
        </is>
      </c>
      <c r="C11" s="10">
        <f>SUM(C8:C10)</f>
        <v/>
      </c>
      <c r="D11" s="10">
        <f>SUM(D8:D10)</f>
        <v/>
      </c>
      <c r="E11" s="10">
        <f>SUM(E8:E10)</f>
        <v/>
      </c>
      <c r="F11" s="10">
        <f>SUM(F8:F10)</f>
        <v/>
      </c>
      <c r="G11" s="10">
        <f>SUM(G8:G10)</f>
        <v/>
      </c>
    </row>
  </sheetData>
  <mergeCells count="2">
    <mergeCell ref="A5:G5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2026-10-18T03:19:42Z</dcterms:created>
  <dcterms:modified xmlns:dcterms="http://purl.org/dc/terms/" xmlns:xsi="http://www.w3.org/2001/XMLSchema-instance" xsi:type="dcterms:W3CDTF">2026-10-18T03:19:42Z</dcterms:modified>
</cp:coreProperties>
</file>